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b0d6f755071746/DIVERSOS/Área de Trabalho/"/>
    </mc:Choice>
  </mc:AlternateContent>
  <xr:revisionPtr revIDLastSave="1359" documentId="8_{1ED1BCA4-3015-496D-83CA-8D47A22697F9}" xr6:coauthVersionLast="47" xr6:coauthVersionMax="47" xr10:uidLastSave="{9B39CB40-12E2-47D7-8DD5-8F189AC1E898}"/>
  <bookViews>
    <workbookView xWindow="-108" yWindow="-108" windowWidth="23256" windowHeight="12576" tabRatio="0" xr2:uid="{31928ADB-A74E-46CE-AE75-2F72A6CC0FA4}"/>
  </bookViews>
  <sheets>
    <sheet name="app" sheetId="1" r:id="rId1"/>
    <sheet name="apoio" sheetId="2" r:id="rId2"/>
  </sheets>
  <definedNames>
    <definedName name="_xlnm._FilterDatabase" localSheetId="1" hidden="1">apoio!$G$3:$G$12</definedName>
    <definedName name="agr">apoio!$E$8</definedName>
    <definedName name="ano">app!#REF!</definedName>
    <definedName name="apo">app!$D$14</definedName>
    <definedName name="con">apoio!$E$4</definedName>
    <definedName name="INVmEN">app!#REF!</definedName>
    <definedName name="mod">apoio!$E$6</definedName>
    <definedName name="patAc10">app!$C$22</definedName>
    <definedName name="patAc2">app!$C$20</definedName>
    <definedName name="patAc20">app!$C$23</definedName>
    <definedName name="patAc30">app!$C$24</definedName>
    <definedName name="patAc5">app!$C$21</definedName>
    <definedName name="patAcu">app!#REF!</definedName>
    <definedName name="rendCart">app!$D$13</definedName>
    <definedName name="sal">app!$D$12</definedName>
    <definedName name="sugInv">app!#REF!</definedName>
    <definedName name="taxMen">app!$D$15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D30" i="1" s="1"/>
  <c r="C20" i="1"/>
  <c r="D20" i="1" s="1"/>
  <c r="D16" i="1"/>
  <c r="C21" i="1"/>
  <c r="D21" i="1" s="1"/>
  <c r="C22" i="1"/>
  <c r="D22" i="1" s="1"/>
  <c r="C32" i="1"/>
  <c r="D32" i="1" s="1"/>
  <c r="C33" i="1"/>
  <c r="D33" i="1" s="1"/>
  <c r="C35" i="1"/>
  <c r="D35" i="1" s="1"/>
  <c r="B16" i="2"/>
  <c r="B17" i="2"/>
  <c r="B18" i="2"/>
  <c r="B19" i="2"/>
  <c r="B20" i="2"/>
  <c r="B15" i="2"/>
  <c r="B10" i="2"/>
  <c r="B11" i="2"/>
  <c r="B12" i="2"/>
  <c r="B13" i="2"/>
  <c r="B14" i="2"/>
  <c r="B9" i="2"/>
  <c r="B4" i="2"/>
  <c r="B5" i="2"/>
  <c r="B6" i="2"/>
  <c r="C34" i="1" s="1"/>
  <c r="D34" i="1" s="1"/>
  <c r="B7" i="2"/>
  <c r="B8" i="2"/>
  <c r="B3" i="2"/>
  <c r="C24" i="1"/>
  <c r="D24" i="1" s="1"/>
  <c r="C23" i="1"/>
  <c r="D23" i="1" s="1"/>
  <c r="C31" i="1" l="1"/>
  <c r="D31" i="1" s="1"/>
  <c r="D36" i="1" l="1"/>
</calcChain>
</file>

<file path=xl/sharedStrings.xml><?xml version="1.0" encoding="utf-8"?>
<sst xmlns="http://schemas.openxmlformats.org/spreadsheetml/2006/main" count="37" uniqueCount="28">
  <si>
    <t>FJM INVEST</t>
  </si>
  <si>
    <t>• Taxa de rendimento mensal</t>
  </si>
  <si>
    <t>CENÁRIOS</t>
  </si>
  <si>
    <t>• Salário</t>
  </si>
  <si>
    <t>• Rendimento carteira</t>
  </si>
  <si>
    <t>DIVIDENDO</t>
  </si>
  <si>
    <t>Perfil</t>
  </si>
  <si>
    <t>Moderado</t>
  </si>
  <si>
    <t>Agressivo</t>
  </si>
  <si>
    <t>TIPOS DE FII</t>
  </si>
  <si>
    <t>% SUGERIDO</t>
  </si>
  <si>
    <t>VALORES</t>
  </si>
  <si>
    <t>PAPEL</t>
  </si>
  <si>
    <t>TIJOLO</t>
  </si>
  <si>
    <t>HIBRIDO</t>
  </si>
  <si>
    <t>DESENVOLVIMENTO</t>
  </si>
  <si>
    <t>HOTELARIA</t>
  </si>
  <si>
    <t>FOF</t>
  </si>
  <si>
    <t>TOTAL</t>
  </si>
  <si>
    <t>PERFIL</t>
  </si>
  <si>
    <t>Conservador</t>
  </si>
  <si>
    <t>%</t>
  </si>
  <si>
    <t>CHAVE</t>
  </si>
  <si>
    <t>• Valor investido mensal</t>
  </si>
  <si>
    <t>• Sugestão de investimento</t>
  </si>
  <si>
    <t>Patrimônio acumulado (anos)</t>
  </si>
  <si>
    <t>MENSAL</t>
  </si>
  <si>
    <t>CONFIGURAÇÕES 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</si>
</sst>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name val="Libre Baskerville"/>
    </font>
    <font>
      <b/>
      <sz val="12"/>
      <name val="Avenir Next LT Pro"/>
      <family val="2"/>
    </font>
    <font>
      <b/>
      <sz val="72"/>
      <color theme="5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D98483"/>
        <bgColor indexed="64"/>
      </patternFill>
    </fill>
    <fill>
      <patternFill patternType="solid">
        <fgColor rgb="FFB9D0CD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ashed">
        <color theme="8"/>
      </left>
      <right style="dashed">
        <color theme="8"/>
      </right>
      <top style="thin">
        <color indexed="64"/>
      </top>
      <bottom style="thin">
        <color indexed="64"/>
      </bottom>
      <diagonal/>
    </border>
    <border>
      <left/>
      <right style="dashed">
        <color theme="8"/>
      </right>
      <top style="thin">
        <color indexed="64"/>
      </top>
      <bottom style="thin">
        <color indexed="64"/>
      </bottom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 style="dashed">
        <color theme="8"/>
      </right>
      <top style="thin">
        <color indexed="64"/>
      </top>
      <bottom style="thin">
        <color indexed="64"/>
      </bottom>
      <diagonal/>
    </border>
    <border>
      <left/>
      <right style="thick">
        <color theme="8"/>
      </right>
      <top style="thin">
        <color indexed="64"/>
      </top>
      <bottom style="thin">
        <color indexed="64"/>
      </bottom>
      <diagonal/>
    </border>
    <border>
      <left style="thick">
        <color theme="8"/>
      </left>
      <right style="dashed">
        <color theme="8"/>
      </right>
      <top style="thin">
        <color indexed="64"/>
      </top>
      <bottom style="thick">
        <color theme="8"/>
      </bottom>
      <diagonal/>
    </border>
    <border>
      <left style="dashed">
        <color theme="8"/>
      </left>
      <right style="dashed">
        <color theme="8"/>
      </right>
      <top style="thin">
        <color indexed="64"/>
      </top>
      <bottom style="thick">
        <color theme="8"/>
      </bottom>
      <diagonal/>
    </border>
    <border>
      <left/>
      <right style="thick">
        <color theme="8"/>
      </right>
      <top style="thin">
        <color indexed="64"/>
      </top>
      <bottom style="thick">
        <color theme="8"/>
      </bottom>
      <diagonal/>
    </border>
    <border>
      <left style="thick">
        <color theme="8"/>
      </left>
      <right/>
      <top style="thick">
        <color theme="8"/>
      </top>
      <bottom style="thin">
        <color indexed="64"/>
      </bottom>
      <diagonal/>
    </border>
    <border>
      <left/>
      <right/>
      <top style="thick">
        <color theme="8"/>
      </top>
      <bottom style="thin">
        <color indexed="64"/>
      </bottom>
      <diagonal/>
    </border>
    <border>
      <left style="dashed">
        <color theme="8"/>
      </left>
      <right style="thick">
        <color theme="8"/>
      </right>
      <top style="thin">
        <color indexed="64"/>
      </top>
      <bottom style="thin">
        <color indexed="64"/>
      </bottom>
      <diagonal/>
    </border>
    <border>
      <left style="thick">
        <color rgb="FFA02B93"/>
      </left>
      <right/>
      <top style="thick">
        <color rgb="FFA02B93"/>
      </top>
      <bottom/>
      <diagonal/>
    </border>
    <border>
      <left/>
      <right/>
      <top style="thick">
        <color rgb="FFA02B93"/>
      </top>
      <bottom/>
      <diagonal/>
    </border>
    <border>
      <left/>
      <right style="thick">
        <color rgb="FFA02B93"/>
      </right>
      <top style="thick">
        <color rgb="FFA02B93"/>
      </top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 style="thin">
        <color indexed="64"/>
      </top>
      <bottom style="thin">
        <color indexed="64"/>
      </bottom>
      <diagonal/>
    </border>
    <border>
      <left style="thick">
        <color rgb="FFA02B93"/>
      </left>
      <right/>
      <top style="thin">
        <color indexed="64"/>
      </top>
      <bottom style="thin">
        <color indexed="64"/>
      </bottom>
      <diagonal/>
    </border>
    <border>
      <left style="dashed">
        <color theme="8"/>
      </left>
      <right style="thick">
        <color rgb="FFA02B93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8"/>
      </left>
      <right/>
      <top/>
      <bottom/>
      <diagonal/>
    </border>
    <border>
      <left style="thick">
        <color theme="8"/>
      </left>
      <right/>
      <top style="thin">
        <color indexed="64"/>
      </top>
      <bottom/>
      <diagonal/>
    </border>
    <border>
      <left/>
      <right style="dashed">
        <color theme="8"/>
      </right>
      <top style="thin">
        <color indexed="64"/>
      </top>
      <bottom/>
      <diagonal/>
    </border>
    <border>
      <left style="dashed">
        <color theme="8"/>
      </left>
      <right style="thick">
        <color theme="8"/>
      </right>
      <top style="thin">
        <color indexed="64"/>
      </top>
      <bottom/>
      <diagonal/>
    </border>
    <border>
      <left style="thick">
        <color theme="8"/>
      </left>
      <right/>
      <top style="dashed">
        <color theme="8"/>
      </top>
      <bottom style="thick">
        <color theme="8"/>
      </bottom>
      <diagonal/>
    </border>
    <border>
      <left/>
      <right style="dashed">
        <color theme="8"/>
      </right>
      <top style="dashed">
        <color theme="8"/>
      </top>
      <bottom style="thick">
        <color theme="8"/>
      </bottom>
      <diagonal/>
    </border>
    <border>
      <left style="dashed">
        <color theme="8"/>
      </left>
      <right style="thick">
        <color theme="8"/>
      </right>
      <top style="dashed">
        <color theme="8"/>
      </top>
      <bottom style="thick">
        <color theme="8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0" fillId="0" borderId="16" xfId="0" applyBorder="1"/>
    <xf numFmtId="0" fontId="2" fillId="0" borderId="16" xfId="0" applyFont="1" applyBorder="1"/>
    <xf numFmtId="164" fontId="4" fillId="4" borderId="12" xfId="0" quotePrefix="1" applyNumberFormat="1" applyFont="1" applyFill="1" applyBorder="1" applyAlignment="1">
      <alignment horizontal="center" vertical="center" shrinkToFit="1"/>
    </xf>
    <xf numFmtId="164" fontId="4" fillId="5" borderId="2" xfId="0" quotePrefix="1" applyNumberFormat="1" applyFont="1" applyFill="1" applyBorder="1" applyAlignment="1">
      <alignment horizontal="center" vertical="center" shrinkToFit="1"/>
    </xf>
    <xf numFmtId="164" fontId="4" fillId="5" borderId="8" xfId="0" quotePrefix="1" applyNumberFormat="1" applyFont="1" applyFill="1" applyBorder="1" applyAlignment="1">
      <alignment horizontal="center" vertical="center" shrinkToFit="1"/>
    </xf>
    <xf numFmtId="164" fontId="4" fillId="4" borderId="19" xfId="0" quotePrefix="1" applyNumberFormat="1" applyFont="1" applyFill="1" applyBorder="1" applyAlignment="1">
      <alignment horizontal="center" vertical="center" shrinkToFit="1"/>
    </xf>
    <xf numFmtId="10" fontId="4" fillId="4" borderId="19" xfId="0" quotePrefix="1" applyNumberFormat="1" applyFont="1" applyFill="1" applyBorder="1" applyAlignment="1">
      <alignment horizontal="center" vertical="center" shrinkToFit="1"/>
    </xf>
    <xf numFmtId="164" fontId="4" fillId="5" borderId="6" xfId="0" quotePrefix="1" applyNumberFormat="1" applyFont="1" applyFill="1" applyBorder="1" applyAlignment="1">
      <alignment horizontal="center" vertical="center" shrinkToFit="1"/>
    </xf>
    <xf numFmtId="164" fontId="4" fillId="5" borderId="9" xfId="0" quotePrefix="1" applyNumberFormat="1" applyFont="1" applyFill="1" applyBorder="1" applyAlignment="1">
      <alignment horizontal="center" vertical="center" shrinkToFit="1"/>
    </xf>
    <xf numFmtId="9" fontId="0" fillId="0" borderId="0" xfId="0" applyNumberFormat="1"/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9" fontId="0" fillId="0" borderId="26" xfId="0" applyNumberFormat="1" applyBorder="1"/>
    <xf numFmtId="0" fontId="0" fillId="0" borderId="27" xfId="0" applyBorder="1"/>
    <xf numFmtId="9" fontId="0" fillId="0" borderId="27" xfId="0" applyNumberFormat="1" applyBorder="1"/>
    <xf numFmtId="0" fontId="3" fillId="3" borderId="16" xfId="0" applyFont="1" applyFill="1" applyBorder="1" applyAlignment="1">
      <alignment horizontal="center" vertical="center" wrapText="1"/>
    </xf>
    <xf numFmtId="0" fontId="4" fillId="4" borderId="5" xfId="0" quotePrefix="1" applyFont="1" applyFill="1" applyBorder="1" applyAlignment="1">
      <alignment horizontal="center" vertical="center" shrinkToFit="1"/>
    </xf>
    <xf numFmtId="0" fontId="4" fillId="4" borderId="7" xfId="0" quotePrefix="1" applyFont="1" applyFill="1" applyBorder="1" applyAlignment="1">
      <alignment horizontal="center" vertical="center" shrinkToFit="1"/>
    </xf>
    <xf numFmtId="10" fontId="4" fillId="4" borderId="32" xfId="0" quotePrefix="1" applyNumberFormat="1" applyFont="1" applyFill="1" applyBorder="1" applyAlignment="1">
      <alignment horizontal="center" vertical="center" shrinkToFit="1"/>
    </xf>
    <xf numFmtId="164" fontId="4" fillId="5" borderId="35" xfId="0" quotePrefix="1" applyNumberFormat="1" applyFont="1" applyFill="1" applyBorder="1" applyAlignment="1">
      <alignment horizontal="center" vertical="center" shrinkToFit="1"/>
    </xf>
    <xf numFmtId="1" fontId="4" fillId="4" borderId="33" xfId="0" quotePrefix="1" applyNumberFormat="1" applyFont="1" applyFill="1" applyBorder="1" applyAlignment="1">
      <alignment horizontal="left" vertical="center" shrinkToFit="1"/>
    </xf>
    <xf numFmtId="1" fontId="4" fillId="4" borderId="34" xfId="0" quotePrefix="1" applyNumberFormat="1" applyFont="1" applyFill="1" applyBorder="1" applyAlignment="1">
      <alignment horizontal="left" vertical="center" shrinkToFi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" fontId="4" fillId="4" borderId="18" xfId="0" quotePrefix="1" applyNumberFormat="1" applyFont="1" applyFill="1" applyBorder="1" applyAlignment="1">
      <alignment horizontal="left" vertical="center" shrinkToFit="1"/>
    </xf>
    <xf numFmtId="1" fontId="4" fillId="4" borderId="3" xfId="0" quotePrefix="1" applyNumberFormat="1" applyFont="1" applyFill="1" applyBorder="1" applyAlignment="1">
      <alignment horizontal="left" vertical="center" shrinkToFit="1"/>
    </xf>
    <xf numFmtId="0" fontId="5" fillId="2" borderId="1" xfId="1" applyFont="1" applyAlignment="1">
      <alignment horizontal="center" vertical="center"/>
    </xf>
    <xf numFmtId="1" fontId="4" fillId="4" borderId="30" xfId="0" quotePrefix="1" applyNumberFormat="1" applyFont="1" applyFill="1" applyBorder="1" applyAlignment="1">
      <alignment horizontal="left" vertical="center" shrinkToFit="1"/>
    </xf>
    <xf numFmtId="1" fontId="4" fillId="4" borderId="31" xfId="0" quotePrefix="1" applyNumberFormat="1" applyFont="1" applyFill="1" applyBorder="1" applyAlignment="1">
      <alignment horizontal="left" vertical="center" shrinkToFi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" fontId="4" fillId="4" borderId="17" xfId="0" quotePrefix="1" applyNumberFormat="1" applyFont="1" applyFill="1" applyBorder="1" applyAlignment="1">
      <alignment horizontal="left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2">
    <cellStyle name="Normal" xfId="0" builtinId="0"/>
    <cellStyle name="Nota" xfId="1" builtinId="10"/>
  </cellStyles>
  <dxfs count="0"/>
  <tableStyles count="0" defaultTableStyle="TableStyleMedium2" defaultPivotStyle="PivotStyleLight16"/>
  <colors>
    <mruColors>
      <color rgb="FFA02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app!$C$29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E6-4D02-9E08-1D25718396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E6-4D02-9E08-1D25718396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E6-4D02-9E08-1D25718396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E6-4D02-9E08-1D25718396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E6-4D02-9E08-1D25718396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E6-4D02-9E08-1D25718396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app!$C$30:$C$35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2-4A25-882D-44EF7E7C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35</xdr:row>
      <xdr:rowOff>156210</xdr:rowOff>
    </xdr:from>
    <xdr:to>
      <xdr:col>3</xdr:col>
      <xdr:colOff>83820</xdr:colOff>
      <xdr:row>50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4096D2-ACB6-7B7B-CECF-3DD8086FA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78E2-AE61-4341-89EC-7CDE45E5B49A}">
  <dimension ref="A1:E36"/>
  <sheetViews>
    <sheetView showGridLines="0" showRowColHeaders="0" tabSelected="1" topLeftCell="A10" workbookViewId="0">
      <selection activeCell="B27" sqref="B27:D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8.88671875" customWidth="1"/>
    <col min="2" max="2" width="33.77734375" customWidth="1"/>
    <col min="3" max="4" width="28.77734375" customWidth="1"/>
    <col min="5" max="5" width="8.88671875" customWidth="1"/>
    <col min="6" max="16384" width="8.88671875" hidden="1"/>
  </cols>
  <sheetData>
    <row r="1" spans="2:4" ht="14.4" customHeight="1" x14ac:dyDescent="0.3">
      <c r="B1" s="39" t="s">
        <v>0</v>
      </c>
      <c r="C1" s="39"/>
      <c r="D1" s="39"/>
    </row>
    <row r="2" spans="2:4" ht="14.4" customHeight="1" x14ac:dyDescent="0.3">
      <c r="B2" s="39"/>
      <c r="C2" s="39"/>
      <c r="D2" s="39"/>
    </row>
    <row r="3" spans="2:4" ht="14.4" customHeight="1" x14ac:dyDescent="0.3">
      <c r="B3" s="39"/>
      <c r="C3" s="39"/>
      <c r="D3" s="39"/>
    </row>
    <row r="4" spans="2:4" ht="14.4" customHeight="1" x14ac:dyDescent="0.3">
      <c r="B4" s="39"/>
      <c r="C4" s="39"/>
      <c r="D4" s="39"/>
    </row>
    <row r="5" spans="2:4" ht="14.4" customHeight="1" x14ac:dyDescent="0.3">
      <c r="B5" s="39"/>
      <c r="C5" s="39"/>
      <c r="D5" s="39"/>
    </row>
    <row r="6" spans="2:4" ht="14.4" customHeight="1" x14ac:dyDescent="0.3">
      <c r="B6" s="39"/>
      <c r="C6" s="39"/>
      <c r="D6" s="39"/>
    </row>
    <row r="7" spans="2:4" ht="14.4" customHeight="1" x14ac:dyDescent="0.3">
      <c r="B7" s="39"/>
      <c r="C7" s="39"/>
      <c r="D7" s="39"/>
    </row>
    <row r="8" spans="2:4" ht="14.4" customHeight="1" x14ac:dyDescent="0.3">
      <c r="B8" s="39"/>
      <c r="C8" s="39"/>
      <c r="D8" s="39"/>
    </row>
    <row r="9" spans="2:4" x14ac:dyDescent="0.3">
      <c r="B9" s="39"/>
      <c r="C9" s="39"/>
      <c r="D9" s="39"/>
    </row>
    <row r="10" spans="2:4" ht="15" thickBot="1" x14ac:dyDescent="0.35"/>
    <row r="11" spans="2:4" ht="26.4" thickTop="1" x14ac:dyDescent="0.3">
      <c r="B11" s="42" t="s">
        <v>27</v>
      </c>
      <c r="C11" s="43"/>
      <c r="D11" s="44"/>
    </row>
    <row r="12" spans="2:4" ht="15.6" x14ac:dyDescent="0.3">
      <c r="B12" s="37" t="s">
        <v>3</v>
      </c>
      <c r="C12" s="38"/>
      <c r="D12" s="8">
        <v>1000</v>
      </c>
    </row>
    <row r="13" spans="2:4" ht="15.6" x14ac:dyDescent="0.3">
      <c r="B13" s="37" t="s">
        <v>4</v>
      </c>
      <c r="C13" s="38"/>
      <c r="D13" s="9">
        <v>6.0000000000000001E-3</v>
      </c>
    </row>
    <row r="14" spans="2:4" ht="15.6" x14ac:dyDescent="0.3">
      <c r="B14" s="47" t="s">
        <v>23</v>
      </c>
      <c r="C14" s="38"/>
      <c r="D14" s="5">
        <v>100</v>
      </c>
    </row>
    <row r="15" spans="2:4" ht="15.6" x14ac:dyDescent="0.3">
      <c r="B15" s="40" t="s">
        <v>1</v>
      </c>
      <c r="C15" s="41"/>
      <c r="D15" s="29">
        <v>1.0789999999999999E-2</v>
      </c>
    </row>
    <row r="16" spans="2:4" ht="16.2" thickBot="1" x14ac:dyDescent="0.35">
      <c r="B16" s="31" t="s">
        <v>24</v>
      </c>
      <c r="C16" s="32"/>
      <c r="D16" s="30">
        <f>sal*30%</f>
        <v>300</v>
      </c>
    </row>
    <row r="17" spans="1:4" ht="15.6" thickTop="1" thickBot="1" x14ac:dyDescent="0.35"/>
    <row r="18" spans="1:4" ht="25.8" customHeight="1" thickTop="1" x14ac:dyDescent="0.3">
      <c r="A18" s="3"/>
      <c r="B18" s="45" t="s">
        <v>2</v>
      </c>
      <c r="C18" s="46"/>
      <c r="D18" s="2" t="s">
        <v>5</v>
      </c>
    </row>
    <row r="19" spans="1:4" ht="25.8" customHeight="1" x14ac:dyDescent="0.3">
      <c r="A19" s="3"/>
      <c r="B19" s="33" t="s">
        <v>25</v>
      </c>
      <c r="C19" s="34"/>
      <c r="D19" s="26" t="s">
        <v>26</v>
      </c>
    </row>
    <row r="20" spans="1:4" ht="15.6" x14ac:dyDescent="0.3">
      <c r="A20" s="4">
        <v>2</v>
      </c>
      <c r="B20" s="27">
        <v>2</v>
      </c>
      <c r="C20" s="6">
        <f>FV(taxMen,A20*12,apo)*-1</f>
        <v>2722.7627297645217</v>
      </c>
      <c r="D20" s="10">
        <f>patAc2*rendCart</f>
        <v>16.336576378587132</v>
      </c>
    </row>
    <row r="21" spans="1:4" ht="15.6" x14ac:dyDescent="0.3">
      <c r="A21" s="4">
        <v>5</v>
      </c>
      <c r="B21" s="27">
        <v>5</v>
      </c>
      <c r="C21" s="6">
        <f>FV(taxMen,A21*12,apo)*-1</f>
        <v>8377.6913998487635</v>
      </c>
      <c r="D21" s="10">
        <f>patAc5*rendCart</f>
        <v>50.266148399092579</v>
      </c>
    </row>
    <row r="22" spans="1:4" ht="15.6" x14ac:dyDescent="0.3">
      <c r="A22" s="4">
        <v>10</v>
      </c>
      <c r="B22" s="27">
        <v>10</v>
      </c>
      <c r="C22" s="6">
        <f>FV(taxMen,A22*12,apo)*-1</f>
        <v>24328.421253017219</v>
      </c>
      <c r="D22" s="10">
        <f>patAc10*rendCart</f>
        <v>145.97052751810332</v>
      </c>
    </row>
    <row r="23" spans="1:4" ht="15.6" x14ac:dyDescent="0.3">
      <c r="A23" s="4">
        <v>20</v>
      </c>
      <c r="B23" s="27">
        <v>20</v>
      </c>
      <c r="C23" s="6">
        <f>FV(taxMen,A23*12,apo)*-1</f>
        <v>112519.84000970806</v>
      </c>
      <c r="D23" s="10">
        <f>patAc20*rendCart</f>
        <v>675.1190400582484</v>
      </c>
    </row>
    <row r="24" spans="1:4" ht="16.2" thickBot="1" x14ac:dyDescent="0.35">
      <c r="A24" s="4">
        <v>30</v>
      </c>
      <c r="B24" s="28">
        <v>30</v>
      </c>
      <c r="C24" s="7">
        <f>FV(taxMen,A24*12,apo)*-1</f>
        <v>432216.96550047147</v>
      </c>
      <c r="D24" s="11">
        <f>patAc30*rendCart</f>
        <v>2593.3017930028291</v>
      </c>
    </row>
    <row r="25" spans="1:4" ht="15" thickTop="1" x14ac:dyDescent="0.3"/>
    <row r="26" spans="1:4" ht="25.8" x14ac:dyDescent="0.3">
      <c r="B26" s="35" t="s">
        <v>6</v>
      </c>
      <c r="C26" s="36"/>
      <c r="D26" s="36"/>
    </row>
    <row r="27" spans="1:4" ht="25.8" x14ac:dyDescent="0.3">
      <c r="B27" s="36" t="s">
        <v>8</v>
      </c>
      <c r="C27" s="36"/>
      <c r="D27" s="36"/>
    </row>
    <row r="28" spans="1:4" x14ac:dyDescent="0.3">
      <c r="C28" s="1"/>
      <c r="D28" s="1"/>
    </row>
    <row r="29" spans="1:4" x14ac:dyDescent="0.3">
      <c r="B29" s="15" t="s">
        <v>9</v>
      </c>
      <c r="C29" s="16" t="s">
        <v>10</v>
      </c>
      <c r="D29" s="16" t="s">
        <v>11</v>
      </c>
    </row>
    <row r="30" spans="1:4" x14ac:dyDescent="0.3">
      <c r="B30" t="s">
        <v>12</v>
      </c>
      <c r="C30" s="14">
        <f>VLOOKUP($B$27&amp;"-"&amp;B30,apoio!B2:C20,2,0)</f>
        <v>0.5</v>
      </c>
      <c r="D30" s="13">
        <f t="shared" ref="D30:D35" si="0">C30*apo</f>
        <v>50</v>
      </c>
    </row>
    <row r="31" spans="1:4" x14ac:dyDescent="0.3">
      <c r="B31" t="s">
        <v>13</v>
      </c>
      <c r="C31" s="14">
        <f>VLOOKUP($B$27&amp;"-"&amp;B31,apoio!B3:C21,2,0)</f>
        <v>0.1</v>
      </c>
      <c r="D31" s="13">
        <f t="shared" si="0"/>
        <v>10</v>
      </c>
    </row>
    <row r="32" spans="1:4" x14ac:dyDescent="0.3">
      <c r="B32" t="s">
        <v>14</v>
      </c>
      <c r="C32" s="14">
        <f>VLOOKUP($B$27&amp;"-"&amp;B32,apoio!B4:C22,2,0)</f>
        <v>0.05</v>
      </c>
      <c r="D32" s="13">
        <f t="shared" si="0"/>
        <v>5</v>
      </c>
    </row>
    <row r="33" spans="2:4" x14ac:dyDescent="0.3">
      <c r="B33" t="s">
        <v>17</v>
      </c>
      <c r="C33" s="14">
        <f>VLOOKUP($B$27&amp;"-"&amp;B33,apoio!B5:C23,2,0)</f>
        <v>0.05</v>
      </c>
      <c r="D33" s="13">
        <f t="shared" si="0"/>
        <v>5</v>
      </c>
    </row>
    <row r="34" spans="2:4" x14ac:dyDescent="0.3">
      <c r="B34" t="s">
        <v>15</v>
      </c>
      <c r="C34" s="14">
        <f>VLOOKUP($B$27&amp;"-"&amp;B34,apoio!B6:C24,2,0)</f>
        <v>0.2</v>
      </c>
      <c r="D34" s="13">
        <f t="shared" si="0"/>
        <v>20</v>
      </c>
    </row>
    <row r="35" spans="2:4" x14ac:dyDescent="0.3">
      <c r="B35" t="s">
        <v>16</v>
      </c>
      <c r="C35" s="14">
        <f>VLOOKUP($B$27&amp;"-"&amp;B35,apoio!B7:C25,2,0)</f>
        <v>0.1</v>
      </c>
      <c r="D35" s="13">
        <f t="shared" si="0"/>
        <v>10</v>
      </c>
    </row>
    <row r="36" spans="2:4" x14ac:dyDescent="0.3">
      <c r="B36" s="15" t="s">
        <v>18</v>
      </c>
      <c r="C36" s="15"/>
      <c r="D36" s="17">
        <f>SUM(D30:D35)</f>
        <v>100</v>
      </c>
    </row>
  </sheetData>
  <mergeCells count="11">
    <mergeCell ref="B1:D9"/>
    <mergeCell ref="B15:C15"/>
    <mergeCell ref="B12:C12"/>
    <mergeCell ref="B11:D11"/>
    <mergeCell ref="B18:C18"/>
    <mergeCell ref="B14:C14"/>
    <mergeCell ref="B16:C16"/>
    <mergeCell ref="B19:C19"/>
    <mergeCell ref="B26:D26"/>
    <mergeCell ref="B27:D27"/>
    <mergeCell ref="B13:C13"/>
  </mergeCells>
  <dataValidations count="1">
    <dataValidation type="list" allowBlank="1" showInputMessage="1" showErrorMessage="1" sqref="B27" xr:uid="{28BEDB03-FD9C-4396-81C3-29D9CEEB49A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461E-F25B-4773-ABEE-E8C1BB4B0066}">
  <dimension ref="B2:G20"/>
  <sheetViews>
    <sheetView workbookViewId="0"/>
  </sheetViews>
  <sheetFormatPr defaultRowHeight="14.4" x14ac:dyDescent="0.3"/>
  <cols>
    <col min="2" max="2" width="28.77734375" bestFit="1" customWidth="1"/>
    <col min="5" max="5" width="11.21875" bestFit="1" customWidth="1"/>
    <col min="6" max="6" width="17.6640625" bestFit="1" customWidth="1"/>
    <col min="8" max="8" width="15.44140625" bestFit="1" customWidth="1"/>
  </cols>
  <sheetData>
    <row r="2" spans="2:7" ht="15" thickBot="1" x14ac:dyDescent="0.35">
      <c r="B2" t="s">
        <v>22</v>
      </c>
      <c r="C2" t="s">
        <v>21</v>
      </c>
    </row>
    <row r="3" spans="2:7" ht="15" thickTop="1" x14ac:dyDescent="0.3">
      <c r="B3" t="str">
        <f t="shared" ref="B3:B8" si="0">con&amp;"-"&amp;F4</f>
        <v>Conservador-PAPEL</v>
      </c>
      <c r="C3" s="12">
        <v>0.3</v>
      </c>
      <c r="E3" s="18" t="s">
        <v>19</v>
      </c>
      <c r="F3" s="19" t="s">
        <v>9</v>
      </c>
      <c r="G3" t="s">
        <v>21</v>
      </c>
    </row>
    <row r="4" spans="2:7" x14ac:dyDescent="0.3">
      <c r="B4" t="str">
        <f t="shared" si="0"/>
        <v>Conservador-TIJOLO</v>
      </c>
      <c r="C4" s="12">
        <v>0.5</v>
      </c>
      <c r="E4" s="48" t="s">
        <v>20</v>
      </c>
      <c r="F4" s="20" t="s">
        <v>12</v>
      </c>
      <c r="G4" s="12">
        <v>0</v>
      </c>
    </row>
    <row r="5" spans="2:7" x14ac:dyDescent="0.3">
      <c r="B5" t="str">
        <f t="shared" si="0"/>
        <v>Conservador-HIBRIDO</v>
      </c>
      <c r="C5" s="12">
        <v>0.1</v>
      </c>
      <c r="E5" s="48"/>
      <c r="F5" s="20" t="s">
        <v>13</v>
      </c>
      <c r="G5" s="12">
        <v>0.05</v>
      </c>
    </row>
    <row r="6" spans="2:7" x14ac:dyDescent="0.3">
      <c r="B6" t="str">
        <f t="shared" si="0"/>
        <v>Conservador-FOF</v>
      </c>
      <c r="C6" s="12">
        <v>0.1</v>
      </c>
      <c r="E6" s="48" t="s">
        <v>7</v>
      </c>
      <c r="F6" s="20" t="s">
        <v>14</v>
      </c>
      <c r="G6" s="12">
        <v>0.08</v>
      </c>
    </row>
    <row r="7" spans="2:7" x14ac:dyDescent="0.3">
      <c r="B7" t="str">
        <f t="shared" si="0"/>
        <v>Conservador-DESENVOLVIMENTO</v>
      </c>
      <c r="C7" s="12">
        <v>0</v>
      </c>
      <c r="E7" s="48"/>
      <c r="F7" s="20" t="s">
        <v>17</v>
      </c>
      <c r="G7" s="12">
        <v>0.1</v>
      </c>
    </row>
    <row r="8" spans="2:7" ht="15" thickBot="1" x14ac:dyDescent="0.35">
      <c r="B8" t="str">
        <f t="shared" si="0"/>
        <v>Conservador-HOTELARIA</v>
      </c>
      <c r="C8" s="12">
        <v>0</v>
      </c>
      <c r="E8" s="48" t="s">
        <v>8</v>
      </c>
      <c r="F8" s="20" t="s">
        <v>15</v>
      </c>
      <c r="G8" s="12">
        <v>0.2</v>
      </c>
    </row>
    <row r="9" spans="2:7" ht="15" thickBot="1" x14ac:dyDescent="0.35">
      <c r="B9" s="22" t="str">
        <f t="shared" ref="B9:B14" si="1">mod&amp;"-"&amp;F4</f>
        <v>Moderado-PAPEL</v>
      </c>
      <c r="C9" s="23">
        <v>0.32</v>
      </c>
      <c r="E9" s="49"/>
      <c r="F9" s="21" t="s">
        <v>16</v>
      </c>
      <c r="G9" s="12">
        <v>0.3</v>
      </c>
    </row>
    <row r="10" spans="2:7" ht="15" thickTop="1" x14ac:dyDescent="0.3">
      <c r="B10" t="str">
        <f t="shared" si="1"/>
        <v>Moderado-TIJOLO</v>
      </c>
      <c r="C10" s="12">
        <v>0.35</v>
      </c>
      <c r="G10" s="12">
        <v>0.32</v>
      </c>
    </row>
    <row r="11" spans="2:7" x14ac:dyDescent="0.3">
      <c r="B11" t="str">
        <f t="shared" si="1"/>
        <v>Moderado-HIBRIDO</v>
      </c>
      <c r="C11" s="12">
        <v>0.08</v>
      </c>
      <c r="G11" s="12">
        <v>0.35</v>
      </c>
    </row>
    <row r="12" spans="2:7" x14ac:dyDescent="0.3">
      <c r="B12" t="str">
        <f t="shared" si="1"/>
        <v>Moderado-FOF</v>
      </c>
      <c r="C12" s="12">
        <v>0.05</v>
      </c>
      <c r="G12" s="12">
        <v>0.5</v>
      </c>
    </row>
    <row r="13" spans="2:7" x14ac:dyDescent="0.3">
      <c r="B13" t="str">
        <f t="shared" si="1"/>
        <v>Moderado-DESENVOLVIMENTO</v>
      </c>
      <c r="C13" s="12">
        <v>0.1</v>
      </c>
    </row>
    <row r="14" spans="2:7" ht="15" thickBot="1" x14ac:dyDescent="0.35">
      <c r="B14" s="24" t="str">
        <f t="shared" si="1"/>
        <v>Moderado-HOTELARIA</v>
      </c>
      <c r="C14" s="25">
        <v>0.1</v>
      </c>
    </row>
    <row r="15" spans="2:7" x14ac:dyDescent="0.3">
      <c r="B15" t="str">
        <f t="shared" ref="B15:B20" si="2">agr&amp;"-"&amp;F4</f>
        <v>Agressivo-PAPEL</v>
      </c>
      <c r="C15" s="12">
        <v>0.5</v>
      </c>
    </row>
    <row r="16" spans="2:7" x14ac:dyDescent="0.3">
      <c r="B16" t="str">
        <f t="shared" si="2"/>
        <v>Agressivo-TIJOLO</v>
      </c>
      <c r="C16" s="12">
        <v>0.1</v>
      </c>
    </row>
    <row r="17" spans="2:3" x14ac:dyDescent="0.3">
      <c r="B17" t="str">
        <f t="shared" si="2"/>
        <v>Agressivo-HIBRIDO</v>
      </c>
      <c r="C17" s="12">
        <v>0.05</v>
      </c>
    </row>
    <row r="18" spans="2:3" x14ac:dyDescent="0.3">
      <c r="B18" t="str">
        <f t="shared" si="2"/>
        <v>Agressivo-FOF</v>
      </c>
      <c r="C18" s="12">
        <v>0.05</v>
      </c>
    </row>
    <row r="19" spans="2:3" x14ac:dyDescent="0.3">
      <c r="B19" t="str">
        <f t="shared" si="2"/>
        <v>Agressivo-DESENVOLVIMENTO</v>
      </c>
      <c r="C19" s="12">
        <v>0.2</v>
      </c>
    </row>
    <row r="20" spans="2:3" x14ac:dyDescent="0.3">
      <c r="B20" t="str">
        <f t="shared" si="2"/>
        <v>Agressivo-HOTELARIA</v>
      </c>
      <c r="C20" s="12">
        <v>0.1</v>
      </c>
    </row>
  </sheetData>
  <mergeCells count="3">
    <mergeCell ref="E4:E5"/>
    <mergeCell ref="E6:E7"/>
    <mergeCell ref="E8:E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app</vt:lpstr>
      <vt:lpstr>apoio</vt:lpstr>
      <vt:lpstr>agr</vt:lpstr>
      <vt:lpstr>apo</vt:lpstr>
      <vt:lpstr>con</vt:lpstr>
      <vt:lpstr>mod</vt:lpstr>
      <vt:lpstr>patAc10</vt:lpstr>
      <vt:lpstr>patAc2</vt:lpstr>
      <vt:lpstr>patAc20</vt:lpstr>
      <vt:lpstr>patAc30</vt:lpstr>
      <vt:lpstr>patAc5</vt:lpstr>
      <vt:lpstr>rendCart</vt:lpstr>
      <vt:lpstr>sal</vt:lpstr>
      <vt:lpstr>taxMen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Monteiro</dc:creator>
  <cp:lastModifiedBy>Fernando Monteiro</cp:lastModifiedBy>
  <dcterms:created xsi:type="dcterms:W3CDTF">2026-08-23T23:26:41Z</dcterms:created>
  <dcterms:modified xsi:type="dcterms:W3CDTF">2026-08-24T15:52:31Z</dcterms:modified>
</cp:coreProperties>
</file>