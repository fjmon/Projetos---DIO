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 XPS\Downloads\"/>
    </mc:Choice>
  </mc:AlternateContent>
  <xr:revisionPtr revIDLastSave="0" documentId="13_ncr:1_{7F817E3D-AC7D-466B-A3B1-1D1CB41808B3}" xr6:coauthVersionLast="47" xr6:coauthVersionMax="47" xr10:uidLastSave="{00000000-0000-0000-0000-000000000000}"/>
  <bookViews>
    <workbookView xWindow="-108" yWindow="-108" windowWidth="23256" windowHeight="125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<sst xmlns="http://schemas.openxmlformats.org/spreadsheetml/2006/main" count="2022" uniqueCount="324">
  <si>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</si>
  <si>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</si>
  <si>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</si>
  <si>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</si>
  <si>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</si>
  <si>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</si>
  <si>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</si>
  <si>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</si>
  <si>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</si>
  <si>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</si>
  <si>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</si>
  <si>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</si>
  <si>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</si>
  <si>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</si>
  <si>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</si>
  <si>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</si>
  <si>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</si>
  <si>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</si>
  <si>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</si>
  <si>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</si>
  <si>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</si>
  <si>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</si>
  <si>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</si>
  <si>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</si>
  <si>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</si>
  <si>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</si>
  <si>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</si>
  <si>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</si>
  <si>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</si>
  <si>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</si>
  <si>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</si>
  <si>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</si>
  <si>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</si>
  <si>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</si>
  <si>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</si>
  <si>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</si>
  <si>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</si>
  <si>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</si>
  <si>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</si>
  <si>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</si>
  <si>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</si>
  <si>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</si>
  <si>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</si>
  <si>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</si>
  <si>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</si>
  <si>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</si>
  <si>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</si>
  <si>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</si>
  <si>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</si>
  <si>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</si>
  <si>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</si>
  <si>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</si>
  <si>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</si>
  <si>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</si>
  <si>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</si>
  <si>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</si>
  <si>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</si>
  <si>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</si>
  <si>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</si>
  <si>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</si>
  <si>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</si>
  <si>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</si>
  <si>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</si>
  <si>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</si>
  <si>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</si>
  <si>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</si>
  <si>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</si>
  <si>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</si>
  <si>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</si>
  <si>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</si>
  <si>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</si>
  <si>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</si>
  <si>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</si>
  <si>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</si>
  <si>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</si>
  <si>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</si>
  <si>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</si>
  <si>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</si>
  <si>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</si>
  <si>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</si>
  <si>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</si>
  <si>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</si>
  <si>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</si>
  <si>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</si>
  <si>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</si>
  <si>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</si>
  <si>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</si>
  <si>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</si>
  <si>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</si>
  <si>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</si>
  <si>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</si>
  <si>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</si>
  <si>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</si>
  <si>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</si>
  <si>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</si>
  <si>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</si>
  <si>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</si>
  <si>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</si>
  <si>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</si>
  <si>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</si>
  <si>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</si>
  <si>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</si>
  <si>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</si>
  <si>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</si>
  <si>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</si>
  <si>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</si>
  <si>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</si>
  <si>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</si>
  <si>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</si>
  <si>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</si>
  <si>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</si>
  <si>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</si>
  <si>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</si>
  <si>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</si>
  <si>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</si>
  <si>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</si>
  <si>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</si>
  <si>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</si>
  <si>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</si>
  <si>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</si>
  <si>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</si>
  <si>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</si>
  <si>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</si>
  <si>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</si>
  <si>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</si>
  <si>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</si>
  <si>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</si>
  <si>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</si>
  <si>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</si>
  <si>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</si>
  <si>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</si>
  <si>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</si>
  <si>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</si>
  <si>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</si>
  <si>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</si>
  <si>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</si>
  <si>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</si>
  <si>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</si>
  <si>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</si>
  <si>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</si>
  <si>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</si>
  <si>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</si>
  <si>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</si>
  <si>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</si>
  <si>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</si>
  <si>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</si>
  <si>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</si>
  <si>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</si>
  <si>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</si>
  <si>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</si>
  <si>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</si>
  <si>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</si>
  <si>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</si>
  <si>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</si>
  <si>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</si>
  <si>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</si>
  <si>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</si>
  <si>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</si>
  <si>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</si>
  <si>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</si>
  <si>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</si>
  <si>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</si>
  <si>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</si>
  <si>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</si>
  <si>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</si>
  <si>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</si>
  <si>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</si>
  <si>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</si>
  <si>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</si>
  <si>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</si>
  <si>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</si>
  <si>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</si>
  <si>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</si>
  <si>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</si>
  <si>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</si>
  <si>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</si>
  <si>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</si>
  <si>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</si>
  <si>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</si>
  <si>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</si>
  <si>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</si>
  <si>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</si>
  <si>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</si>
  <si>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</si>
  <si>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</si>
  <si>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</si>
  <si>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</si>
  <si>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</si>
  <si>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</si>
  <si>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</si>
  <si>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</si>
  <si>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</si>
  <si>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</si>
  <si>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</si>
  <si>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</si>
  <si>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</si>
  <si>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</si>
  <si>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</si>
  <si>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</si>
  <si>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</si>
  <si>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</si>
  <si>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</si>
  <si>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</si>
  <si>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</si>
  <si>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</si>
  <si>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</si>
  <si>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</si>
  <si>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</si>
  <si>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</si>
  <si>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</si>
  <si>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</si>
  <si>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</si>
  <si>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</si>
  <si>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</si>
  <si>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</si>
  <si>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</si>
  <si>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</si>
  <si>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</si>
  <si>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</si>
  <si>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</si>
  <si>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</si>
  <si>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</si>
  <si>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</si>
  <si>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</si>
  <si>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</si>
  <si>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</si>
  <si>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</si>
  <si>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</si>
  <si>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</si>
  <si>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</si>
  <si>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</si>
  <si>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</si>
  <si>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</si>
  <si>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</si>
  <si>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</si>
  <si>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</si>
  <si>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</si>
  <si>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</si>
  <si>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</si>
  <si>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</si>
  <si>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</si>
  <si>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</si>
  <si>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</si>
  <si>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</si>
  <si>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</si>
  <si>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</si>
  <si>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</si>
  <si>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</si>
  <si>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</si>
  <si>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</si>
  <si>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</si>
  <si>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</si>
  <si>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</si>
  <si>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</si>
  <si>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</si>
  <si>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</si>
  <si>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</si>
  <si>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</si>
  <si>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</si>
  <si>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</si>
  <si>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</si>
  <si>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</si>
  <si>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</si>
  <si>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</si>
  <si>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</si>
  <si>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</si>
  <si>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</si>
  <si>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</si>
  <si>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</si>
  <si>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</si>
  <si>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</si>
  <si>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</si>
  <si>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</si>
  <si>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</si>
  <si>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</si>
  <si>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</si>
  <si>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</si>
  <si>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</si>
  <si>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</si>
  <si>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</si>
  <si>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</si>
  <si>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</si>
  <si>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</si>
  <si>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</si>
  <si>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</si>
  <si>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</si>
  <si>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</si>
  <si>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</si>
  <si>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</si>
  <si>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</si>
  <si>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</si>
  <si>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</si>
  <si>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</si>
  <si>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</si>
  <si>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</si>
  <si>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</si>
  <si>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</si>
  <si>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</si>
  <si>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</si>
  <si>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</si>
  <si>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</si>
  <si>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</si>
  <si>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</si>
  <si>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</si>
  <si>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</si>
  <si>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</si>
  <si>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</si>
  <si>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</si>
  <si>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</si>
  <si>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</si>
  <si>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</si>
  <si>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</si>
  <si>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</si>
  <si>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</si>
  <si>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</si>
  <si>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</si>
  <si>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</si>
  <si>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Total Geral</t>
  </si>
  <si>
    <t>Soma de Total Value</t>
  </si>
  <si>
    <t>XBOX GAME PASS SUBSCRIPTIONS SALES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</si>
  <si>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 xml:space="preserve">Total de vendas assinaturas do EA Play 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</si>
  <si>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</si>
  <si>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vendas assinaturas do Minecraft</t>
    </r>
    <r>
      <rPr>
        <sz val="11"/>
        <color theme="1"/>
        <rFont val="Aptos Narrow"/>
        <family val="2"/>
        <scheme val="minor"/>
      </rPr>
      <t xml:space="preserve"> Season Pass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</si>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</sst>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8" borderId="0" xfId="3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13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8">
    <dxf>
      <font>
        <b/>
        <color theme="1"/>
      </font>
      <border>
        <bottom style="thin">
          <color rgb="FF4F81BD"/>
        </bottom>
        <vertical/>
        <horizontal/>
      </border>
    </dxf>
    <dxf>
      <font>
        <b/>
        <i val="0"/>
        <sz val="14"/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  <dxf>
      <font>
        <sz val="14"/>
        <color rgb="FFFF0000"/>
      </font>
      <fill>
        <patternFill>
          <fgColor rgb="FF2AE6B1"/>
          <bgColor rgb="FF92D050"/>
        </patternFill>
      </fill>
      <border diagonalUp="0" diagonalDown="0">
        <left/>
        <right/>
        <top/>
        <bottom/>
        <vertical/>
        <horizontal/>
      </border>
    </dxf>
    <dxf>
      <font>
        <sz val="14"/>
        <color rgb="FFFFFF00"/>
      </font>
      <fill>
        <patternFill>
          <bgColor rgb="FFFFFF0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68E4B9F2-8534-4C94-8DE2-03A3E7FA1098}">
      <tableStyleElement type="wholeTable" dxfId="3"/>
      <tableStyleElement type="headerRow" dxfId="2"/>
    </tableStyle>
    <tableStyle name="SlicerStyleOther2 2" pivot="0" table="0" count="10" xr9:uid="{B0803484-4462-40F5-AC45-6E5673139840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vendas.xlsx]C̳álculos!tblAnualTotal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3-44C0-9CAB-E35E7585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8493088"/>
        <c:axId val="1134137632"/>
      </c:barChart>
      <c:catAx>
        <c:axId val="117849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4137632"/>
        <c:crosses val="autoZero"/>
        <c:auto val="1"/>
        <c:lblAlgn val="ctr"/>
        <c:lblOffset val="100"/>
        <c:noMultiLvlLbl val="0"/>
      </c:catAx>
      <c:valAx>
        <c:axId val="113413763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784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79374</xdr:colOff>
      <xdr:row>1</xdr:row>
      <xdr:rowOff>469900</xdr:rowOff>
    </xdr:from>
    <xdr:to>
      <xdr:col>3</xdr:col>
      <xdr:colOff>22225</xdr:colOff>
      <xdr:row>2</xdr:row>
      <xdr:rowOff>168148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B85D33-060F-40C2-9134-C1C72BBCC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41" r="71617"/>
        <a:stretch>
          <a:fillRect/>
        </a:stretch>
      </xdr:blipFill>
      <xdr:spPr>
        <a:xfrm>
          <a:off x="2276474" y="647700"/>
          <a:ext cx="552451" cy="980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38100</xdr:rowOff>
    </xdr:from>
    <xdr:to>
      <xdr:col>1</xdr:col>
      <xdr:colOff>2976</xdr:colOff>
      <xdr:row>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1D2B3DE-F9DF-427A-9082-D2162342D5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8312"/>
              <a:ext cx="1957282" cy="1680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514350</xdr:colOff>
      <xdr:row>1</xdr:row>
      <xdr:rowOff>9525</xdr:rowOff>
    </xdr:from>
    <xdr:to>
      <xdr:col>0</xdr:col>
      <xdr:colOff>1209675</xdr:colOff>
      <xdr:row>1</xdr:row>
      <xdr:rowOff>672465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73DFD1B-741A-4381-8C2B-5D003E408D33}"/>
            </a:ext>
          </a:extLst>
        </xdr:cNvPr>
        <xdr:cNvSpPr/>
      </xdr:nvSpPr>
      <xdr:spPr>
        <a:xfrm>
          <a:off x="514350" y="187325"/>
          <a:ext cx="695325" cy="66294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168441</xdr:colOff>
      <xdr:row>5</xdr:row>
      <xdr:rowOff>0</xdr:rowOff>
    </xdr:from>
    <xdr:to>
      <xdr:col>10</xdr:col>
      <xdr:colOff>136358</xdr:colOff>
      <xdr:row>15</xdr:row>
      <xdr:rowOff>144381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3FE750E-EC0A-E003-A022-60D39EAE9FD7}"/>
            </a:ext>
          </a:extLst>
        </xdr:cNvPr>
        <xdr:cNvGrpSpPr/>
      </xdr:nvGrpSpPr>
      <xdr:grpSpPr>
        <a:xfrm>
          <a:off x="2122747" y="2949388"/>
          <a:ext cx="5086764" cy="2071793"/>
          <a:chOff x="2117557" y="2951747"/>
          <a:chExt cx="5085348" cy="210151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8B41840-0A99-46FC-BBCE-3F9AAC3868B7}"/>
              </a:ext>
            </a:extLst>
          </xdr:cNvPr>
          <xdr:cNvSpPr/>
        </xdr:nvSpPr>
        <xdr:spPr>
          <a:xfrm>
            <a:off x="2117557" y="2951749"/>
            <a:ext cx="5085348" cy="210151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243C735-E6F1-F7FD-2A31-DBCE79F134A6}"/>
              </a:ext>
            </a:extLst>
          </xdr:cNvPr>
          <xdr:cNvSpPr/>
        </xdr:nvSpPr>
        <xdr:spPr>
          <a:xfrm>
            <a:off x="3384883" y="3400926"/>
            <a:ext cx="3729790" cy="1315453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6D04F71-83B2-49DF-A4AD-3BC7E1C7D3BE}" type="TxLink">
              <a:rPr lang="en-US" sz="5400" b="1" i="0" u="none" strike="noStrike">
                <a:solidFill>
                  <a:srgbClr val="000000"/>
                </a:solidFill>
                <a:latin typeface="Aptos Narrow"/>
              </a:rPr>
              <a:pPr algn="ctr"/>
              <a:t>R$ 990,00</a:t>
            </a:fld>
            <a:endParaRPr lang="pt-BR" sz="5400" b="1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EF5124CA-E091-41DE-9B28-BB8CAF9252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1621" y="3475722"/>
            <a:ext cx="1219200" cy="1165860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3E7D281A-DA2B-5D14-CD98-6FED1FC152FD}"/>
              </a:ext>
            </a:extLst>
          </xdr:cNvPr>
          <xdr:cNvSpPr/>
        </xdr:nvSpPr>
        <xdr:spPr>
          <a:xfrm>
            <a:off x="2117557" y="2951747"/>
            <a:ext cx="5077327" cy="248653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136358</xdr:colOff>
      <xdr:row>4</xdr:row>
      <xdr:rowOff>48124</xdr:rowOff>
    </xdr:from>
    <xdr:to>
      <xdr:col>19</xdr:col>
      <xdr:colOff>505327</xdr:colOff>
      <xdr:row>15</xdr:row>
      <xdr:rowOff>104274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AD24382-956D-BBA1-9EF0-F3C875969421}"/>
            </a:ext>
          </a:extLst>
        </xdr:cNvPr>
        <xdr:cNvGrpSpPr/>
      </xdr:nvGrpSpPr>
      <xdr:grpSpPr>
        <a:xfrm>
          <a:off x="7819111" y="2907865"/>
          <a:ext cx="5084404" cy="2073209"/>
          <a:chOff x="7531768" y="2919662"/>
          <a:chExt cx="5085348" cy="2101518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CD16F55B-8328-47ED-B1E6-13DA1F554BE1}"/>
              </a:ext>
            </a:extLst>
          </xdr:cNvPr>
          <xdr:cNvGrpSpPr/>
        </xdr:nvGrpSpPr>
        <xdr:grpSpPr>
          <a:xfrm>
            <a:off x="7531768" y="2919662"/>
            <a:ext cx="5085348" cy="2101518"/>
            <a:chOff x="2117557" y="2951747"/>
            <a:chExt cx="5085348" cy="2101518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81DE2463-49CD-0A67-CBE8-CD96C9C1CAC5}"/>
                </a:ext>
              </a:extLst>
            </xdr:cNvPr>
            <xdr:cNvSpPr/>
          </xdr:nvSpPr>
          <xdr:spPr>
            <a:xfrm>
              <a:off x="2117557" y="2951749"/>
              <a:ext cx="5085348" cy="2101516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5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6D1F419C-67B7-6ED8-38A9-E7A1B09C5742}"/>
                </a:ext>
              </a:extLst>
            </xdr:cNvPr>
            <xdr:cNvSpPr/>
          </xdr:nvSpPr>
          <xdr:spPr>
            <a:xfrm>
              <a:off x="3384883" y="3400926"/>
              <a:ext cx="3729790" cy="1315453"/>
            </a:xfrm>
            <a:prstGeom prst="round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8E40ED6-EE3B-4E2E-97CE-74E56533F20A}" type="TxLink">
                <a:rPr lang="en-US" sz="5400" b="1" i="0" u="none" strike="noStrike">
                  <a:solidFill>
                    <a:srgbClr val="000000"/>
                  </a:solidFill>
                  <a:latin typeface="Aptos Narrow"/>
                </a:rPr>
                <a:t>R$ 1.140,00</a:t>
              </a:fld>
              <a:endParaRPr lang="pt-BR" sz="34400" b="1"/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CF59ACBD-3241-6E5D-706E-1EF1ED25951B}"/>
                </a:ext>
              </a:extLst>
            </xdr:cNvPr>
            <xdr:cNvSpPr/>
          </xdr:nvSpPr>
          <xdr:spPr>
            <a:xfrm>
              <a:off x="2117557" y="2951747"/>
              <a:ext cx="5077327" cy="248653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ysClr val="windowText" lastClr="000000"/>
                  </a:solidFill>
                </a:rPr>
                <a:t>Total Subscriptions EA Play Season Pass</a:t>
              </a: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9210F138-659B-41A5-B694-6624B5E04C6B}"/>
              </a:ext>
            </a:extLst>
          </xdr:cNvPr>
          <xdr:cNvGrpSpPr/>
        </xdr:nvGrpSpPr>
        <xdr:grpSpPr>
          <a:xfrm>
            <a:off x="7579894" y="3826042"/>
            <a:ext cx="1163054" cy="489386"/>
            <a:chOff x="3495675" y="5400674"/>
            <a:chExt cx="1549476" cy="752476"/>
          </a:xfrm>
        </xdr:grpSpPr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4B444E01-5932-40D1-7A84-7EB4260E95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3" name="Gráfico 12">
              <a:extLst>
                <a:ext uri="{FF2B5EF4-FFF2-40B4-BE49-F238E27FC236}">
                  <a16:creationId xmlns:a16="http://schemas.microsoft.com/office/drawing/2014/main" id="{3BD58F10-BAF4-3F99-B6E8-C2E25D4831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200525</xdr:colOff>
      <xdr:row>4</xdr:row>
      <xdr:rowOff>52134</xdr:rowOff>
    </xdr:from>
    <xdr:to>
      <xdr:col>10</xdr:col>
      <xdr:colOff>168442</xdr:colOff>
      <xdr:row>15</xdr:row>
      <xdr:rowOff>108284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0A71F56-B76C-C447-565F-9CA297182CBA}"/>
            </a:ext>
          </a:extLst>
        </xdr:cNvPr>
        <xdr:cNvGrpSpPr/>
      </xdr:nvGrpSpPr>
      <xdr:grpSpPr>
        <a:xfrm>
          <a:off x="2154831" y="2911875"/>
          <a:ext cx="5086764" cy="2073209"/>
          <a:chOff x="2117557" y="2951747"/>
          <a:chExt cx="5085348" cy="2101518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329564EB-7545-694D-7117-D70E26F6FE8A}"/>
              </a:ext>
            </a:extLst>
          </xdr:cNvPr>
          <xdr:cNvSpPr/>
        </xdr:nvSpPr>
        <xdr:spPr>
          <a:xfrm>
            <a:off x="2117557" y="2951749"/>
            <a:ext cx="5085348" cy="210151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A5B034DE-75A7-92B7-71C9-344E3DFC7EF7}"/>
              </a:ext>
            </a:extLst>
          </xdr:cNvPr>
          <xdr:cNvSpPr/>
        </xdr:nvSpPr>
        <xdr:spPr>
          <a:xfrm>
            <a:off x="3384883" y="3400926"/>
            <a:ext cx="3729790" cy="1315453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6D04F71-83B2-49DF-A4AD-3BC7E1C7D3BE}" type="TxLink">
              <a:rPr lang="en-US" sz="5400" b="1" i="0" u="none" strike="noStrike">
                <a:solidFill>
                  <a:srgbClr val="000000"/>
                </a:solidFill>
                <a:latin typeface="Aptos Narrow"/>
              </a:rPr>
              <a:pPr algn="ctr"/>
              <a:t>R$ 1.350,00</a:t>
            </a:fld>
            <a:endParaRPr lang="pt-BR" sz="5400" b="1"/>
          </a:p>
        </xdr:txBody>
      </xdr: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3202D381-12DA-21F2-9889-D44EE8E454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1621" y="3475722"/>
            <a:ext cx="1219200" cy="1165860"/>
          </a:xfrm>
          <a:prstGeom prst="rect">
            <a:avLst/>
          </a:prstGeom>
        </xdr:spPr>
      </xdr:pic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4E51DE32-6F03-B8FF-849F-529EDAF52E2F}"/>
              </a:ext>
            </a:extLst>
          </xdr:cNvPr>
          <xdr:cNvSpPr/>
        </xdr:nvSpPr>
        <xdr:spPr>
          <a:xfrm>
            <a:off x="2117557" y="2951747"/>
            <a:ext cx="5077327" cy="248653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168442</xdr:colOff>
      <xdr:row>4</xdr:row>
      <xdr:rowOff>52134</xdr:rowOff>
    </xdr:from>
    <xdr:to>
      <xdr:col>19</xdr:col>
      <xdr:colOff>537411</xdr:colOff>
      <xdr:row>15</xdr:row>
      <xdr:rowOff>108284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AD06398-2397-133B-9889-B34F3764C8CB}"/>
            </a:ext>
          </a:extLst>
        </xdr:cNvPr>
        <xdr:cNvGrpSpPr/>
      </xdr:nvGrpSpPr>
      <xdr:grpSpPr>
        <a:xfrm>
          <a:off x="7851195" y="2911875"/>
          <a:ext cx="5084404" cy="2073209"/>
          <a:chOff x="7531768" y="2919662"/>
          <a:chExt cx="5085348" cy="2101518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62CCF495-DE13-C980-FD30-7CBBF4D2FC57}"/>
              </a:ext>
            </a:extLst>
          </xdr:cNvPr>
          <xdr:cNvGrpSpPr/>
        </xdr:nvGrpSpPr>
        <xdr:grpSpPr>
          <a:xfrm>
            <a:off x="7531768" y="2919662"/>
            <a:ext cx="5085348" cy="2101518"/>
            <a:chOff x="2117557" y="2951747"/>
            <a:chExt cx="5085348" cy="2101518"/>
          </a:xfrm>
        </xdr:grpSpPr>
        <xdr:sp macro="" textlink="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2132DD36-177C-4B40-BE53-FFCC25E830F1}"/>
                </a:ext>
              </a:extLst>
            </xdr:cNvPr>
            <xdr:cNvSpPr/>
          </xdr:nvSpPr>
          <xdr:spPr>
            <a:xfrm>
              <a:off x="2117557" y="2951749"/>
              <a:ext cx="5085348" cy="2101516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5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D5326A92-2AA0-F5B8-FDBC-B17C99FE6702}"/>
                </a:ext>
              </a:extLst>
            </xdr:cNvPr>
            <xdr:cNvSpPr/>
          </xdr:nvSpPr>
          <xdr:spPr>
            <a:xfrm>
              <a:off x="3384883" y="3400926"/>
              <a:ext cx="3729790" cy="1315453"/>
            </a:xfrm>
            <a:prstGeom prst="round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8E40ED6-EE3B-4E2E-97CE-74E56533F20A}" type="TxLink">
                <a:rPr lang="en-US" sz="5400" b="1" i="0" u="none" strike="noStrike">
                  <a:solidFill>
                    <a:srgbClr val="000000"/>
                  </a:solidFill>
                  <a:latin typeface="Aptos Narrow"/>
                </a:rPr>
                <a:t>R$ 1.800,00</a:t>
              </a:fld>
              <a:endParaRPr lang="pt-BR" sz="34400" b="1"/>
            </a:p>
          </xdr:txBody>
        </xdr:sp>
        <xdr:sp macro="" textlink="">
          <xdr:nvSpPr>
            <xdr:cNvPr id="37" name="Retângulo: Cantos Superiores Arredondados 36">
              <a:extLst>
                <a:ext uri="{FF2B5EF4-FFF2-40B4-BE49-F238E27FC236}">
                  <a16:creationId xmlns:a16="http://schemas.microsoft.com/office/drawing/2014/main" id="{BF082134-E91B-A849-05F4-DE6C1F4655B0}"/>
                </a:ext>
              </a:extLst>
            </xdr:cNvPr>
            <xdr:cNvSpPr/>
          </xdr:nvSpPr>
          <xdr:spPr>
            <a:xfrm>
              <a:off x="2117557" y="2951747"/>
              <a:ext cx="5077327" cy="248653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ysClr val="windowText" lastClr="000000"/>
                  </a:solidFill>
                </a:rPr>
                <a:t>Total Subscriptions Minecraft Season Pass</a:t>
              </a:r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F1D63A40-105B-A515-E9B5-9A8D6B380499}"/>
              </a:ext>
            </a:extLst>
          </xdr:cNvPr>
          <xdr:cNvGrpSpPr/>
        </xdr:nvGrpSpPr>
        <xdr:grpSpPr>
          <a:xfrm>
            <a:off x="7579894" y="3826042"/>
            <a:ext cx="1163054" cy="489386"/>
            <a:chOff x="3495675" y="5400674"/>
            <a:chExt cx="1549476" cy="752476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49141177-1593-4999-05D2-8ECAB8F7DF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4" name="Gráfico 33">
              <a:extLst>
                <a:ext uri="{FF2B5EF4-FFF2-40B4-BE49-F238E27FC236}">
                  <a16:creationId xmlns:a16="http://schemas.microsoft.com/office/drawing/2014/main" id="{52340BD1-6C4E-D62D-BFF1-1CC1B879CB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59155</xdr:colOff>
      <xdr:row>19</xdr:row>
      <xdr:rowOff>4011</xdr:rowOff>
    </xdr:from>
    <xdr:to>
      <xdr:col>20</xdr:col>
      <xdr:colOff>0</xdr:colOff>
      <xdr:row>35</xdr:row>
      <xdr:rowOff>182981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A4E3B1DE-23B2-90EB-E4E5-0AD9DA884031}"/>
            </a:ext>
          </a:extLst>
        </xdr:cNvPr>
        <xdr:cNvGrpSpPr/>
      </xdr:nvGrpSpPr>
      <xdr:grpSpPr>
        <a:xfrm>
          <a:off x="2013461" y="5597987"/>
          <a:ext cx="10994327" cy="3047676"/>
          <a:chOff x="2008271" y="5650832"/>
          <a:chExt cx="10993855" cy="313071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D72FF30-CA97-8EA5-4EE1-AD32667EFA4B}"/>
              </a:ext>
            </a:extLst>
          </xdr:cNvPr>
          <xdr:cNvGrpSpPr/>
        </xdr:nvGrpSpPr>
        <xdr:grpSpPr>
          <a:xfrm>
            <a:off x="2008271" y="5650832"/>
            <a:ext cx="10993855" cy="3130717"/>
            <a:chOff x="2124075" y="3019425"/>
            <a:chExt cx="5038725" cy="30956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67588CA-3D58-787C-429D-0A63915A664D}"/>
                </a:ext>
              </a:extLst>
            </xdr:cNvPr>
            <xdr:cNvSpPr/>
          </xdr:nvSpPr>
          <xdr:spPr>
            <a:xfrm>
              <a:off x="2124075" y="3019425"/>
              <a:ext cx="5038725" cy="30956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27F6BC5-3FFD-46E4-BE9C-82CF4DF388E3}"/>
                </a:ext>
              </a:extLst>
            </xdr:cNvPr>
            <xdr:cNvGraphicFramePr>
              <a:graphicFrameLocks/>
            </xdr:cNvGraphicFramePr>
          </xdr:nvGraphicFramePr>
          <xdr:xfrm>
            <a:off x="2247900" y="310896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958564FD-D8EB-4F49-9EA2-5315F0B846B5}"/>
              </a:ext>
            </a:extLst>
          </xdr:cNvPr>
          <xdr:cNvSpPr/>
        </xdr:nvSpPr>
        <xdr:spPr>
          <a:xfrm>
            <a:off x="2008271" y="5650832"/>
            <a:ext cx="10993855" cy="364957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101600</xdr:colOff>
      <xdr:row>1</xdr:row>
      <xdr:rowOff>901700</xdr:rowOff>
    </xdr:from>
    <xdr:to>
      <xdr:col>0</xdr:col>
      <xdr:colOff>1828800</xdr:colOff>
      <xdr:row>1</xdr:row>
      <xdr:rowOff>1257300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87FD6237-8833-1297-0068-46468EDBA884}"/>
            </a:ext>
          </a:extLst>
        </xdr:cNvPr>
        <xdr:cNvSpPr/>
      </xdr:nvSpPr>
      <xdr:spPr>
        <a:xfrm>
          <a:off x="101600" y="1079500"/>
          <a:ext cx="1727200" cy="355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</a:rPr>
            <a:t>- Bem vindo José Manuel</a:t>
          </a:r>
        </a:p>
      </xdr:txBody>
    </xdr:sp>
    <xdr:clientData/>
  </xdr:twoCellAnchor>
  <xdr:twoCellAnchor editAs="absolute">
    <xdr:from>
      <xdr:col>3</xdr:col>
      <xdr:colOff>0</xdr:colOff>
      <xdr:row>1</xdr:row>
      <xdr:rowOff>1290917</xdr:rowOff>
    </xdr:from>
    <xdr:to>
      <xdr:col>6</xdr:col>
      <xdr:colOff>53788</xdr:colOff>
      <xdr:row>2</xdr:row>
      <xdr:rowOff>573740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D27B2FDE-B7EF-4024-AEAD-983A9063260E}"/>
            </a:ext>
          </a:extLst>
        </xdr:cNvPr>
        <xdr:cNvSpPr/>
      </xdr:nvSpPr>
      <xdr:spPr>
        <a:xfrm>
          <a:off x="2805953" y="1470211"/>
          <a:ext cx="1882588" cy="5737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</a:rPr>
            <a:t>Period: 1/1/26 - 31/12/26 </a:t>
          </a:r>
        </a:p>
        <a:p>
          <a:pPr algn="l"/>
          <a:r>
            <a:rPr lang="pt-BR" sz="1200" b="1">
              <a:solidFill>
                <a:sysClr val="windowText" lastClr="000000"/>
              </a:solidFill>
            </a:rPr>
            <a:t>Update: 29/9/26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XPS" refreshedDate="46294.616854282409" createdVersion="8" refreshedVersion="8" minRefreshableVersion="3" recordCount="295" xr:uid="{744CDAB3-2AD6-4B3B-A9EA-38DBAE41C19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883629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0F69B-E75D-4545-AF27-E3FB22645217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45685-9284-45A6-B378-0A7A4D7C57E3}" name="tblEASeasonPass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07218-4B3E-4239-8000-B396886AA4C0}" name="tblAnual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4AA6DFA-D2DC-4386-9D50-9B75A57E6048}" sourceName="Subscription Type">
  <pivotTables>
    <pivotTable tabId="3" name="tblAnualTotal"/>
    <pivotTable tabId="3" name="tblEASeasonPassTotal"/>
    <pivotTable tabId="3" name="Tabela dinâmica3"/>
  </pivotTables>
  <data>
    <tabular pivotCacheId="138836299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A758682-CE54-41BC-9094-B42D69751E88}" cache="SegmentaçãodeDados_Subscription_Type" caption="Subscription Type" style="SlicerStyleOther2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9" sqref="B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9" sqref="B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35"/>
  <sheetViews>
    <sheetView showGridLines="0" topLeftCell="A10" workbookViewId="0">
      <selection activeCell="B9" sqref="B9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5" x14ac:dyDescent="0.3">
      <c r="A1" s="12" t="s">
        <v>313</v>
      </c>
      <c r="B1" s="12"/>
      <c r="C1" s="12"/>
      <c r="D1" s="12"/>
      <c r="E1" s="12"/>
    </row>
    <row r="4" spans="1:5" x14ac:dyDescent="0.3">
      <c r="A4" t="s">
        <v>314</v>
      </c>
    </row>
    <row r="5" spans="1:5" x14ac:dyDescent="0.3">
      <c r="A5" t="s">
        <v>315</v>
      </c>
    </row>
    <row r="6" spans="1:5" x14ac:dyDescent="0.3">
      <c r="A6" t="s">
        <v>320</v>
      </c>
    </row>
    <row r="7" spans="1:5" x14ac:dyDescent="0.3">
      <c r="A7" t="s">
        <v>322</v>
      </c>
    </row>
    <row r="9" spans="1:5" x14ac:dyDescent="0.3">
      <c r="B9" s="13" t="s">
        <v>16</v>
      </c>
      <c r="C9" t="s">
        <v>27</v>
      </c>
    </row>
    <row r="11" spans="1:5" x14ac:dyDescent="0.3">
      <c r="B11" s="13" t="s">
        <v>316</v>
      </c>
      <c r="C11" t="s">
        <v>318</v>
      </c>
    </row>
    <row r="12" spans="1:5" x14ac:dyDescent="0.3">
      <c r="B12" s="14" t="s">
        <v>23</v>
      </c>
      <c r="C12" s="15">
        <v>806</v>
      </c>
    </row>
    <row r="13" spans="1:5" x14ac:dyDescent="0.3">
      <c r="B13" s="14" t="s">
        <v>19</v>
      </c>
      <c r="C13" s="15">
        <v>1502</v>
      </c>
    </row>
    <row r="14" spans="1:5" x14ac:dyDescent="0.3">
      <c r="B14" s="14" t="s">
        <v>317</v>
      </c>
      <c r="C14" s="15">
        <v>2308</v>
      </c>
    </row>
    <row r="18" spans="2:6" x14ac:dyDescent="0.3">
      <c r="B18" s="13" t="s">
        <v>16</v>
      </c>
      <c r="C18" t="s">
        <v>27</v>
      </c>
    </row>
    <row r="20" spans="2:6" x14ac:dyDescent="0.3">
      <c r="B20" s="13" t="s">
        <v>316</v>
      </c>
      <c r="C20" t="s">
        <v>321</v>
      </c>
    </row>
    <row r="21" spans="2:6" x14ac:dyDescent="0.3">
      <c r="B21" s="14" t="s">
        <v>22</v>
      </c>
      <c r="C21" s="16">
        <v>0</v>
      </c>
    </row>
    <row r="22" spans="2:6" x14ac:dyDescent="0.3">
      <c r="B22" s="14" t="s">
        <v>26</v>
      </c>
      <c r="C22" s="16">
        <v>0</v>
      </c>
    </row>
    <row r="23" spans="2:6" x14ac:dyDescent="0.3">
      <c r="B23" s="14" t="s">
        <v>18</v>
      </c>
      <c r="C23" s="16">
        <v>990</v>
      </c>
    </row>
    <row r="24" spans="2:6" x14ac:dyDescent="0.3">
      <c r="B24" s="14" t="s">
        <v>317</v>
      </c>
      <c r="C24" s="16">
        <v>990</v>
      </c>
      <c r="F24" s="17">
        <f>GETPIVOTDATA("EA Play Season Pass
Price",$B$20)</f>
        <v>990</v>
      </c>
    </row>
    <row r="29" spans="2:6" x14ac:dyDescent="0.3">
      <c r="B29" s="13" t="s">
        <v>16</v>
      </c>
      <c r="C29" t="s">
        <v>27</v>
      </c>
    </row>
    <row r="31" spans="2:6" x14ac:dyDescent="0.3">
      <c r="B31" s="13" t="s">
        <v>316</v>
      </c>
      <c r="C31" t="s">
        <v>323</v>
      </c>
    </row>
    <row r="32" spans="2:6" x14ac:dyDescent="0.3">
      <c r="B32" s="14" t="s">
        <v>22</v>
      </c>
      <c r="C32" s="15">
        <v>0</v>
      </c>
    </row>
    <row r="33" spans="2:6" x14ac:dyDescent="0.3">
      <c r="B33" s="14" t="s">
        <v>26</v>
      </c>
      <c r="C33" s="15">
        <v>480</v>
      </c>
    </row>
    <row r="34" spans="2:6" x14ac:dyDescent="0.3">
      <c r="B34" s="14" t="s">
        <v>18</v>
      </c>
      <c r="C34" s="15">
        <v>660</v>
      </c>
    </row>
    <row r="35" spans="2:6" x14ac:dyDescent="0.3">
      <c r="B35" s="14" t="s">
        <v>317</v>
      </c>
      <c r="C35" s="15">
        <v>1140</v>
      </c>
      <c r="F35" s="17">
        <f>GETPIVOTDATA("Minecraft Season Pass Price",$B$31)</f>
        <v>1140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01"/>
  <sheetViews>
    <sheetView showGridLines="0" showRowColHeaders="0" tabSelected="1" zoomScale="85" zoomScaleNormal="85" workbookViewId="0">
      <selection activeCell="V8" sqref="V8"/>
    </sheetView>
  </sheetViews>
  <sheetFormatPr defaultRowHeight="14.4" x14ac:dyDescent="0.3"/>
  <cols>
    <col min="1" max="1" width="28.44140625" style="5" customWidth="1"/>
    <col min="2" max="2" width="3.5546875" customWidth="1"/>
    <col min="12" max="12" width="6.5546875" customWidth="1"/>
  </cols>
  <sheetData>
    <row r="2" spans="1:20" ht="101.4" customHeight="1" thickBot="1" x14ac:dyDescent="0.6">
      <c r="C2" s="20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</row>
    <row r="3" spans="1:20" ht="101.4" customHeight="1" thickTop="1" x14ac:dyDescent="0.3"/>
    <row r="4" spans="1:20" s="7" customFormat="1" ht="8.25" customHeight="1" x14ac:dyDescent="0.3">
      <c r="A4" s="5"/>
    </row>
    <row r="5" spans="1:20" s="7" customFormat="1" ht="7.5" customHeight="1" x14ac:dyDescent="0.3">
      <c r="A5" s="5"/>
    </row>
    <row r="6" spans="1:20" s="7" customFormat="1" ht="10.5" customHeight="1" x14ac:dyDescent="0.3">
      <c r="A6" s="5"/>
    </row>
    <row r="7" spans="1:20" s="7" customFormat="1" ht="9.75" customHeight="1" x14ac:dyDescent="0.3">
      <c r="A7" s="5"/>
    </row>
    <row r="8" spans="1:20" s="7" customFormat="1" ht="33" customHeight="1" x14ac:dyDescent="0.3">
      <c r="A8" s="5"/>
    </row>
    <row r="9" spans="1:20" s="7" customFormat="1" x14ac:dyDescent="0.3">
      <c r="A9" s="5"/>
    </row>
    <row r="10" spans="1:20" s="7" customFormat="1" x14ac:dyDescent="0.3">
      <c r="A10" s="5"/>
    </row>
    <row r="11" spans="1:20" s="7" customFormat="1" x14ac:dyDescent="0.3">
      <c r="A11" s="5"/>
    </row>
    <row r="12" spans="1:20" s="7" customFormat="1" x14ac:dyDescent="0.3">
      <c r="A12" s="5"/>
    </row>
    <row r="13" spans="1:20" s="7" customFormat="1" x14ac:dyDescent="0.3">
      <c r="A13" s="5"/>
    </row>
    <row r="14" spans="1:20" s="7" customFormat="1" x14ac:dyDescent="0.3">
      <c r="A14" s="5"/>
    </row>
    <row r="15" spans="1:20" s="7" customFormat="1" x14ac:dyDescent="0.3">
      <c r="A15" s="5"/>
    </row>
    <row r="16" spans="1:20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s="7" customFormat="1" x14ac:dyDescent="0.3">
      <c r="A137" s="5"/>
    </row>
    <row r="138" spans="1:1" s="7" customFormat="1" x14ac:dyDescent="0.3">
      <c r="A138" s="5"/>
    </row>
    <row r="139" spans="1:1" s="7" customFormat="1" x14ac:dyDescent="0.3">
      <c r="A139" s="5"/>
    </row>
    <row r="140" spans="1:1" s="7" customFormat="1" x14ac:dyDescent="0.3">
      <c r="A140" s="5"/>
    </row>
    <row r="141" spans="1:1" s="7" customFormat="1" x14ac:dyDescent="0.3">
      <c r="A141" s="5"/>
    </row>
    <row r="142" spans="1:1" s="7" customFormat="1" x14ac:dyDescent="0.3">
      <c r="A142" s="5"/>
    </row>
    <row r="143" spans="1:1" s="7" customFormat="1" x14ac:dyDescent="0.3">
      <c r="A143" s="5"/>
    </row>
    <row r="144" spans="1:1" s="7" customFormat="1" x14ac:dyDescent="0.3">
      <c r="A144" s="5"/>
    </row>
    <row r="145" spans="1:1" s="7" customFormat="1" x14ac:dyDescent="0.3">
      <c r="A145" s="5"/>
    </row>
    <row r="146" spans="1:1" s="7" customFormat="1" x14ac:dyDescent="0.3">
      <c r="A146" s="5"/>
    </row>
    <row r="147" spans="1:1" s="7" customFormat="1" x14ac:dyDescent="0.3">
      <c r="A147" s="5"/>
    </row>
    <row r="148" spans="1:1" s="7" customFormat="1" x14ac:dyDescent="0.3">
      <c r="A148" s="5"/>
    </row>
    <row r="149" spans="1:1" s="7" customFormat="1" x14ac:dyDescent="0.3">
      <c r="A149" s="5"/>
    </row>
    <row r="150" spans="1:1" s="7" customFormat="1" x14ac:dyDescent="0.3">
      <c r="A150" s="5"/>
    </row>
    <row r="151" spans="1:1" s="7" customFormat="1" x14ac:dyDescent="0.3">
      <c r="A151" s="5"/>
    </row>
    <row r="152" spans="1:1" s="7" customFormat="1" x14ac:dyDescent="0.3">
      <c r="A152" s="5"/>
    </row>
    <row r="153" spans="1:1" s="7" customFormat="1" x14ac:dyDescent="0.3">
      <c r="A153" s="5"/>
    </row>
    <row r="154" spans="1:1" s="7" customFormat="1" x14ac:dyDescent="0.3">
      <c r="A154" s="5"/>
    </row>
    <row r="155" spans="1:1" s="7" customFormat="1" x14ac:dyDescent="0.3">
      <c r="A155" s="5"/>
    </row>
    <row r="156" spans="1:1" s="7" customFormat="1" x14ac:dyDescent="0.3">
      <c r="A156" s="5"/>
    </row>
    <row r="157" spans="1:1" s="7" customFormat="1" x14ac:dyDescent="0.3">
      <c r="A157" s="5"/>
    </row>
    <row r="158" spans="1:1" s="7" customFormat="1" x14ac:dyDescent="0.3">
      <c r="A158" s="5"/>
    </row>
    <row r="159" spans="1:1" s="7" customFormat="1" x14ac:dyDescent="0.3">
      <c r="A159" s="5"/>
    </row>
    <row r="160" spans="1:1" s="7" customFormat="1" x14ac:dyDescent="0.3">
      <c r="A160" s="5"/>
    </row>
    <row r="161" spans="1:1" s="7" customFormat="1" x14ac:dyDescent="0.3">
      <c r="A161" s="5"/>
    </row>
    <row r="162" spans="1:1" s="7" customFormat="1" x14ac:dyDescent="0.3">
      <c r="A162" s="5"/>
    </row>
    <row r="163" spans="1:1" s="7" customFormat="1" x14ac:dyDescent="0.3">
      <c r="A163" s="5"/>
    </row>
    <row r="164" spans="1:1" s="7" customFormat="1" x14ac:dyDescent="0.3">
      <c r="A164" s="5"/>
    </row>
    <row r="165" spans="1:1" s="7" customFormat="1" x14ac:dyDescent="0.3">
      <c r="A165" s="5"/>
    </row>
    <row r="166" spans="1:1" s="7" customFormat="1" x14ac:dyDescent="0.3">
      <c r="A166" s="5"/>
    </row>
    <row r="167" spans="1:1" s="7" customFormat="1" x14ac:dyDescent="0.3">
      <c r="A167" s="5"/>
    </row>
    <row r="168" spans="1:1" s="7" customFormat="1" x14ac:dyDescent="0.3">
      <c r="A168" s="5"/>
    </row>
    <row r="169" spans="1:1" s="7" customFormat="1" x14ac:dyDescent="0.3">
      <c r="A169" s="5"/>
    </row>
    <row r="170" spans="1:1" s="7" customFormat="1" x14ac:dyDescent="0.3">
      <c r="A170" s="5"/>
    </row>
    <row r="171" spans="1:1" s="7" customFormat="1" x14ac:dyDescent="0.3">
      <c r="A171" s="5"/>
    </row>
    <row r="172" spans="1:1" s="7" customFormat="1" x14ac:dyDescent="0.3">
      <c r="A172" s="5"/>
    </row>
    <row r="173" spans="1:1" s="7" customFormat="1" x14ac:dyDescent="0.3">
      <c r="A173" s="5"/>
    </row>
    <row r="174" spans="1:1" s="7" customFormat="1" x14ac:dyDescent="0.3">
      <c r="A174" s="5"/>
    </row>
    <row r="175" spans="1:1" s="7" customFormat="1" x14ac:dyDescent="0.3">
      <c r="A175" s="5"/>
    </row>
    <row r="176" spans="1:1" s="7" customFormat="1" x14ac:dyDescent="0.3">
      <c r="A176" s="5"/>
    </row>
    <row r="177" spans="1:1" s="7" customFormat="1" x14ac:dyDescent="0.3">
      <c r="A177" s="5"/>
    </row>
    <row r="178" spans="1:1" s="7" customFormat="1" x14ac:dyDescent="0.3">
      <c r="A178" s="5"/>
    </row>
    <row r="179" spans="1:1" s="7" customFormat="1" x14ac:dyDescent="0.3">
      <c r="A179" s="5"/>
    </row>
    <row r="180" spans="1:1" s="7" customFormat="1" x14ac:dyDescent="0.3">
      <c r="A180" s="5"/>
    </row>
    <row r="181" spans="1:1" s="7" customFormat="1" x14ac:dyDescent="0.3">
      <c r="A181" s="5"/>
    </row>
    <row r="182" spans="1:1" s="7" customFormat="1" x14ac:dyDescent="0.3">
      <c r="A182" s="5"/>
    </row>
    <row r="183" spans="1:1" s="7" customFormat="1" x14ac:dyDescent="0.3">
      <c r="A183" s="5"/>
    </row>
    <row r="184" spans="1:1" s="7" customFormat="1" x14ac:dyDescent="0.3">
      <c r="A184" s="5"/>
    </row>
    <row r="185" spans="1:1" s="7" customFormat="1" x14ac:dyDescent="0.3">
      <c r="A185" s="5"/>
    </row>
    <row r="186" spans="1:1" s="7" customFormat="1" x14ac:dyDescent="0.3">
      <c r="A186" s="5"/>
    </row>
    <row r="187" spans="1:1" s="7" customFormat="1" x14ac:dyDescent="0.3">
      <c r="A187" s="5"/>
    </row>
    <row r="188" spans="1:1" s="7" customFormat="1" x14ac:dyDescent="0.3">
      <c r="A188" s="5"/>
    </row>
    <row r="189" spans="1:1" s="7" customFormat="1" x14ac:dyDescent="0.3">
      <c r="A189" s="5"/>
    </row>
    <row r="190" spans="1:1" s="7" customFormat="1" x14ac:dyDescent="0.3">
      <c r="A190" s="5"/>
    </row>
    <row r="191" spans="1:1" s="7" customFormat="1" x14ac:dyDescent="0.3">
      <c r="A191" s="5"/>
    </row>
    <row r="192" spans="1:1" s="7" customFormat="1" x14ac:dyDescent="0.3">
      <c r="A192" s="5"/>
    </row>
    <row r="193" spans="1:1" s="7" customFormat="1" x14ac:dyDescent="0.3">
      <c r="A193" s="5"/>
    </row>
    <row r="194" spans="1:1" s="7" customFormat="1" x14ac:dyDescent="0.3">
      <c r="A194" s="5"/>
    </row>
    <row r="195" spans="1:1" s="7" customFormat="1" x14ac:dyDescent="0.3">
      <c r="A195" s="5"/>
    </row>
    <row r="196" spans="1:1" s="7" customFormat="1" x14ac:dyDescent="0.3">
      <c r="A196" s="5"/>
    </row>
    <row r="197" spans="1:1" s="7" customFormat="1" x14ac:dyDescent="0.3">
      <c r="A197" s="5"/>
    </row>
    <row r="198" spans="1:1" s="7" customFormat="1" x14ac:dyDescent="0.3">
      <c r="A198" s="5"/>
    </row>
    <row r="199" spans="1:1" s="7" customFormat="1" x14ac:dyDescent="0.3">
      <c r="A199" s="5"/>
    </row>
    <row r="200" spans="1:1" s="7" customFormat="1" x14ac:dyDescent="0.3">
      <c r="A200" s="5"/>
    </row>
    <row r="201" spans="1:1" s="7" customFormat="1" x14ac:dyDescent="0.3">
      <c r="A20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Fernando Monteiro</cp:lastModifiedBy>
  <dcterms:created xsi:type="dcterms:W3CDTF">2024-12-19T13:13:10Z</dcterms:created>
  <dcterms:modified xsi:type="dcterms:W3CDTF">2026-09-30T00:15:47Z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